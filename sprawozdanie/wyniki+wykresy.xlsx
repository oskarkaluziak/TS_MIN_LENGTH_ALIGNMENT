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.2" sheetId="1" r:id="rId5"/>
    <sheet state="visible" name="7.3.1" sheetId="2" r:id="rId6"/>
    <sheet state="visible" name="7.3.2" sheetId="3" r:id="rId7"/>
    <sheet state="visible" name="7.4" sheetId="4" r:id="rId8"/>
    <sheet state="visible" name="wykresy" sheetId="5" r:id="rId9"/>
  </sheets>
  <definedNames/>
  <calcPr/>
</workbook>
</file>

<file path=xl/sharedStrings.xml><?xml version="1.0" encoding="utf-8"?>
<sst xmlns="http://schemas.openxmlformats.org/spreadsheetml/2006/main" count="147" uniqueCount="44">
  <si>
    <t>5x15x20</t>
  </si>
  <si>
    <t>średnie</t>
  </si>
  <si>
    <t>min</t>
  </si>
  <si>
    <t>max</t>
  </si>
  <si>
    <t>wynik</t>
  </si>
  <si>
    <t>iteracje</t>
  </si>
  <si>
    <t>gap (%)</t>
  </si>
  <si>
    <t>5x15x20 2mutacje</t>
  </si>
  <si>
    <t>5x15x20 5 mutacji</t>
  </si>
  <si>
    <t>10x50x60</t>
  </si>
  <si>
    <t>10x50x60 2mutacje</t>
  </si>
  <si>
    <t>10x50x60 5mutacje</t>
  </si>
  <si>
    <t>15x80x100</t>
  </si>
  <si>
    <t>15x80x100 2mutacje</t>
  </si>
  <si>
    <t>15x80x100 5mutacje</t>
  </si>
  <si>
    <t>10x50x60x5x1</t>
  </si>
  <si>
    <t>10x50x60x5x2</t>
  </si>
  <si>
    <t>10x50x60x5x4</t>
  </si>
  <si>
    <t>10x50x60x5x8</t>
  </si>
  <si>
    <t>10x50x60x5x5</t>
  </si>
  <si>
    <t>10x50x60x5x20</t>
  </si>
  <si>
    <t>10x50x60x5x50</t>
  </si>
  <si>
    <t>10x50x60x5x100</t>
  </si>
  <si>
    <t>10x30x40x0xACGT</t>
  </si>
  <si>
    <t>10x30x40x0xAC</t>
  </si>
  <si>
    <t>Rozmiar instancji</t>
  </si>
  <si>
    <t>Brak mutacji</t>
  </si>
  <si>
    <t>Średnie mutacje</t>
  </si>
  <si>
    <t>Duże mutacje</t>
  </si>
  <si>
    <t>Mały (d=20)</t>
  </si>
  <si>
    <t>Średni (d=60)</t>
  </si>
  <si>
    <t>Duży (d=100)</t>
  </si>
  <si>
    <t>Liczba wątków</t>
  </si>
  <si>
    <t>AVG (Cel)</t>
  </si>
  <si>
    <t>Sąsiedzi (k)</t>
  </si>
  <si>
    <t>Użyty alfabet</t>
  </si>
  <si>
    <t>Gap (%)</t>
  </si>
  <si>
    <t>Pełny (ACGT)</t>
  </si>
  <si>
    <t>Binarny (AC)</t>
  </si>
  <si>
    <t>4. Wykres do Tabeli 4 (Alfabet AC vs ACGT):</t>
  </si>
  <si>
    <t>Typ wykresu: Kolumnowy (Słupkowy) lub Kołowy.</t>
  </si>
  <si>
    <t>Oś X: Pełny (ACGT) vs Binarny (AC).</t>
  </si>
  <si>
    <t>Oś Y: Gap (%) (Odległość od optimum w procentach).</t>
  </si>
  <si>
    <t>Efekt: Ogromny słupek błędu dla ACGT i malutki słupek dla AC.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</si>
</sst>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rgb="FF000000"/>
      <name val="Arial"/>
      <scheme val="minor"/>
    </font>
    <font>
      <color rgb="FF000000"/>
      <name val="Arial"/>
      <scheme val="minor"/>
    </font>
    <font>
      <b/>
      <i/>
      <color rgb="FF000000"/>
      <name val="Arial"/>
      <scheme val="minor"/>
    </font>
    <font>
      <b/>
      <color theme="1"/>
      <name val="Arial"/>
    </font>
    <font>
      <b/>
      <i/>
      <color theme="1"/>
      <name val="Arial"/>
    </font>
    <font>
      <sz val="13.0"/>
      <color rgb="FF000000"/>
      <name val="&quot;Google Sans Flex&quot;"/>
    </font>
  </fonts>
  <fills count="4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Border="1" applyFill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1" fillId="2" fontId="2" numFmtId="0" xfId="0" applyAlignment="1" applyBorder="1" applyFont="1">
      <alignment horizontal="right" vertical="bottom"/>
    </xf>
    <xf borderId="1" fillId="2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vertical="bottom"/>
    </xf>
    <xf borderId="4" fillId="2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wykresy!$B$1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wykresy!$A$2:$A$4</c:f>
            </c:strRef>
          </c:cat>
          <c:val>
            <c:numRef>
              <c:f>wykresy!$B$2:$B$4</c:f>
              <c:numCache/>
            </c:numRef>
          </c:val>
        </c:ser>
        <c:ser>
          <c:idx val="1"/>
          <c:order val="1"/>
          <c:tx>
            <c:strRef>
              <c:f>wykresy!$C$1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wykresy!$A$2:$A$4</c:f>
            </c:strRef>
          </c:cat>
          <c:val>
            <c:numRef>
              <c:f>wykresy!$C$2:$C$4</c:f>
              <c:numCache/>
            </c:numRef>
          </c:val>
        </c:ser>
        <c:ser>
          <c:idx val="2"/>
          <c:order val="2"/>
          <c:tx>
            <c:strRef>
              <c:f>wykresy!$D$1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wykresy!$A$2:$A$4</c:f>
            </c:strRef>
          </c:cat>
          <c:val>
            <c:numRef>
              <c:f>wykresy!$D$2:$D$4</c:f>
              <c:numCache/>
            </c:numRef>
          </c:val>
        </c:ser>
        <c:axId val="1739313428"/>
        <c:axId val="603759629"/>
      </c:barChart>
      <c:catAx>
        <c:axId val="173931342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Rozmiar instancji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3759629"/>
      </c:catAx>
      <c:valAx>
        <c:axId val="6037596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(Cel)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931342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wykresy!$B$26</c:f>
            </c:strRef>
          </c:tx>
          <c:spPr>
            <a:solidFill>
              <a:srgbClr val="4285F4">
                <a:alpha val="3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wykresy!$A$27:$A$30</c:f>
            </c:strRef>
          </c:cat>
          <c:val>
            <c:numRef>
              <c:f>wykresy!$B$27:$B$30</c:f>
              <c:numCache/>
            </c:numRef>
          </c:val>
        </c:ser>
        <c:axId val="993683303"/>
        <c:axId val="1074238494"/>
      </c:areaChart>
      <c:catAx>
        <c:axId val="993683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Liczba wątków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238494"/>
      </c:catAx>
      <c:valAx>
        <c:axId val="1074238494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(Cel)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683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wykresy!$B$54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FE2F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1155CC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CFE2F3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CFE2F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wykresy!$A$55:$A$58</c:f>
            </c:strRef>
          </c:cat>
          <c:val>
            <c:numRef>
              <c:f>wykresy!$B$55:$B$58</c:f>
              <c:numCache/>
            </c:numRef>
          </c:val>
        </c:ser>
        <c:axId val="1633324027"/>
        <c:axId val="960785953"/>
      </c:barChart>
      <c:catAx>
        <c:axId val="1633324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Sąsiedzi (k)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785953"/>
      </c:catAx>
      <c:valAx>
        <c:axId val="960785953"/>
        <c:scaling>
          <c:orientation val="minMax"/>
          <c:max val="1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(Cel)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3324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wykresy!$B$83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wykresy!$A$84:$A$85</c:f>
            </c:strRef>
          </c:cat>
          <c:val>
            <c:numRef>
              <c:f>wykresy!$B$84:$B$85</c:f>
              <c:numCache/>
            </c:numRef>
          </c:val>
        </c:ser>
        <c:axId val="1431715627"/>
        <c:axId val="2016861757"/>
      </c:barChart>
      <c:catAx>
        <c:axId val="14317156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Użyty alfabet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861757"/>
      </c:catAx>
      <c:valAx>
        <c:axId val="2016861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Gap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7156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5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30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59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86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8.75"/>
    <col customWidth="1" min="3" max="3" width="9.38"/>
    <col customWidth="1" min="4" max="4" width="8.63"/>
    <col customWidth="1" min="5" max="5" width="9.38"/>
    <col customWidth="1" min="6" max="6" width="8.5"/>
    <col customWidth="1" min="7" max="7" width="8.75"/>
    <col customWidth="1" min="8" max="8" width="8.5"/>
    <col customWidth="1" min="9" max="9" width="8.38"/>
    <col customWidth="1" min="10" max="10" width="8.25"/>
    <col customWidth="1" min="11" max="11" width="9.25"/>
  </cols>
  <sheetData>
    <row r="2">
      <c r="A2" s="1" t="s">
        <v>0</v>
      </c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>
        <v>6.0</v>
      </c>
      <c r="H2" s="1">
        <v>7.0</v>
      </c>
      <c r="I2" s="1">
        <v>8.0</v>
      </c>
      <c r="J2" s="1">
        <v>9.0</v>
      </c>
      <c r="K2" s="1">
        <v>10.0</v>
      </c>
      <c r="L2" s="1" t="s">
        <v>1</v>
      </c>
      <c r="M2" s="1" t="s">
        <v>2</v>
      </c>
      <c r="N2" s="1" t="s">
        <v>3</v>
      </c>
    </row>
    <row r="3">
      <c r="A3" s="2" t="s">
        <v>4</v>
      </c>
      <c r="B3" s="2">
        <v>20.0</v>
      </c>
      <c r="C3" s="2">
        <v>22.0</v>
      </c>
      <c r="D3" s="2">
        <v>22.0</v>
      </c>
      <c r="E3" s="2">
        <v>21.0</v>
      </c>
      <c r="F3" s="2">
        <v>22.0</v>
      </c>
      <c r="G3" s="2">
        <v>21.0</v>
      </c>
      <c r="H3" s="2">
        <v>20.0</v>
      </c>
      <c r="I3" s="2">
        <v>20.0</v>
      </c>
      <c r="J3" s="2">
        <v>22.0</v>
      </c>
      <c r="K3" s="2">
        <v>21.0</v>
      </c>
      <c r="L3" s="3">
        <f t="shared" ref="L3:L4" si="1">average(B3:K3)</f>
        <v>21.1</v>
      </c>
      <c r="M3" s="3">
        <f>min(B3:K3)</f>
        <v>20</v>
      </c>
      <c r="N3" s="3">
        <f>max(B3:K3)</f>
        <v>22</v>
      </c>
    </row>
    <row r="4">
      <c r="A4" s="2" t="s">
        <v>5</v>
      </c>
      <c r="B4" s="2">
        <v>515070.0</v>
      </c>
      <c r="C4" s="2">
        <v>443000.0</v>
      </c>
      <c r="D4" s="2">
        <v>439972.0</v>
      </c>
      <c r="E4" s="2">
        <v>465500.0</v>
      </c>
      <c r="F4" s="2">
        <v>471500.0</v>
      </c>
      <c r="G4" s="2">
        <v>425000.0</v>
      </c>
      <c r="H4" s="2">
        <v>422000.0</v>
      </c>
      <c r="I4" s="2">
        <v>396000.0</v>
      </c>
      <c r="J4" s="2">
        <v>449500.0</v>
      </c>
      <c r="K4" s="2">
        <v>419000.0</v>
      </c>
      <c r="L4" s="3">
        <f t="shared" si="1"/>
        <v>444654.2</v>
      </c>
    </row>
    <row r="5">
      <c r="L5" s="2" t="s">
        <v>6</v>
      </c>
      <c r="M5" s="3">
        <f>(L3-20)/20 * 100</f>
        <v>5.5</v>
      </c>
    </row>
    <row r="7">
      <c r="A7" s="1" t="s">
        <v>7</v>
      </c>
      <c r="B7" s="1">
        <v>1.0</v>
      </c>
      <c r="C7" s="1">
        <v>2.0</v>
      </c>
      <c r="D7" s="1">
        <v>3.0</v>
      </c>
      <c r="E7" s="1">
        <v>4.0</v>
      </c>
      <c r="F7" s="1">
        <v>5.0</v>
      </c>
      <c r="G7" s="1">
        <v>6.0</v>
      </c>
      <c r="H7" s="1">
        <v>7.0</v>
      </c>
      <c r="I7" s="1">
        <v>8.0</v>
      </c>
      <c r="J7" s="1">
        <v>9.0</v>
      </c>
      <c r="K7" s="1">
        <v>10.0</v>
      </c>
      <c r="L7" s="1" t="s">
        <v>1</v>
      </c>
      <c r="M7" s="1" t="s">
        <v>2</v>
      </c>
      <c r="N7" s="1" t="s">
        <v>3</v>
      </c>
    </row>
    <row r="8">
      <c r="A8" s="2" t="s">
        <v>4</v>
      </c>
      <c r="B8" s="2">
        <v>21.0</v>
      </c>
      <c r="C8" s="2">
        <v>23.0</v>
      </c>
      <c r="D8" s="2">
        <v>21.0</v>
      </c>
      <c r="E8" s="2">
        <v>23.0</v>
      </c>
      <c r="F8" s="2">
        <v>22.0</v>
      </c>
      <c r="G8" s="2">
        <v>23.0</v>
      </c>
      <c r="H8" s="2">
        <v>22.0</v>
      </c>
      <c r="I8" s="2">
        <v>23.0</v>
      </c>
      <c r="J8" s="2">
        <v>24.0</v>
      </c>
      <c r="K8" s="2">
        <v>22.0</v>
      </c>
      <c r="L8" s="3">
        <f t="shared" ref="L8:L9" si="2">average(B8:K8)</f>
        <v>22.4</v>
      </c>
      <c r="M8" s="3">
        <f>min(B8:K8)</f>
        <v>21</v>
      </c>
      <c r="N8" s="3">
        <f>max(B8:K8)</f>
        <v>24</v>
      </c>
    </row>
    <row r="9">
      <c r="A9" s="2" t="s">
        <v>5</v>
      </c>
      <c r="B9" s="2">
        <v>486500.0</v>
      </c>
      <c r="C9" s="2">
        <v>457500.0</v>
      </c>
      <c r="D9" s="2">
        <v>467500.0</v>
      </c>
      <c r="E9" s="2">
        <v>465000.0</v>
      </c>
      <c r="F9" s="2">
        <v>443000.0</v>
      </c>
      <c r="G9" s="2">
        <v>455000.0</v>
      </c>
      <c r="H9" s="2">
        <v>468944.0</v>
      </c>
      <c r="I9" s="2">
        <v>438000.0</v>
      </c>
      <c r="J9" s="2">
        <v>481000.0</v>
      </c>
      <c r="K9" s="2">
        <v>453500.0</v>
      </c>
      <c r="L9" s="3">
        <f t="shared" si="2"/>
        <v>461594.4</v>
      </c>
    </row>
    <row r="10">
      <c r="L10" s="2" t="s">
        <v>6</v>
      </c>
      <c r="M10" s="3">
        <f>(L8-20)/20 * 100</f>
        <v>12</v>
      </c>
    </row>
    <row r="12">
      <c r="A12" s="1" t="s">
        <v>8</v>
      </c>
      <c r="B12" s="1">
        <v>1.0</v>
      </c>
      <c r="C12" s="1">
        <v>2.0</v>
      </c>
      <c r="D12" s="1">
        <v>3.0</v>
      </c>
      <c r="E12" s="1">
        <v>4.0</v>
      </c>
      <c r="F12" s="1">
        <v>5.0</v>
      </c>
      <c r="G12" s="1">
        <v>6.0</v>
      </c>
      <c r="H12" s="1">
        <v>7.0</v>
      </c>
      <c r="I12" s="1">
        <v>8.0</v>
      </c>
      <c r="J12" s="1">
        <v>9.0</v>
      </c>
      <c r="K12" s="1">
        <v>10.0</v>
      </c>
      <c r="L12" s="1" t="s">
        <v>1</v>
      </c>
      <c r="M12" s="1" t="s">
        <v>2</v>
      </c>
      <c r="N12" s="1" t="s">
        <v>3</v>
      </c>
    </row>
    <row r="13">
      <c r="A13" s="2" t="s">
        <v>4</v>
      </c>
      <c r="B13" s="2">
        <v>24.0</v>
      </c>
      <c r="C13" s="2">
        <v>26.0</v>
      </c>
      <c r="D13" s="2">
        <v>26.0</v>
      </c>
      <c r="E13" s="2">
        <v>24.0</v>
      </c>
      <c r="F13" s="2">
        <v>25.0</v>
      </c>
      <c r="G13" s="2">
        <v>24.0</v>
      </c>
      <c r="H13" s="2">
        <v>24.0</v>
      </c>
      <c r="I13" s="2">
        <v>26.0</v>
      </c>
      <c r="J13" s="2">
        <v>25.0</v>
      </c>
      <c r="K13" s="2">
        <v>22.0</v>
      </c>
      <c r="L13" s="3">
        <f t="shared" ref="L13:L14" si="3">average(B13:K13)</f>
        <v>24.6</v>
      </c>
      <c r="M13" s="3">
        <f>min(B13:K13)</f>
        <v>22</v>
      </c>
      <c r="N13" s="3">
        <f>max(B13:K13)</f>
        <v>26</v>
      </c>
    </row>
    <row r="14">
      <c r="A14" s="2" t="s">
        <v>5</v>
      </c>
      <c r="B14" s="2">
        <v>461000.0</v>
      </c>
      <c r="C14" s="2">
        <v>434000.0</v>
      </c>
      <c r="D14" s="2">
        <v>410500.0</v>
      </c>
      <c r="E14" s="2">
        <v>447500.0</v>
      </c>
      <c r="F14" s="2">
        <v>406500.0</v>
      </c>
      <c r="G14" s="2">
        <v>404500.0</v>
      </c>
      <c r="H14" s="2">
        <v>382000.0</v>
      </c>
      <c r="I14" s="2">
        <v>486000.0</v>
      </c>
      <c r="J14" s="2">
        <v>442500.0</v>
      </c>
      <c r="K14" s="2">
        <v>416500.0</v>
      </c>
      <c r="L14" s="3">
        <f t="shared" si="3"/>
        <v>429100</v>
      </c>
    </row>
    <row r="15">
      <c r="L15" s="2" t="s">
        <v>6</v>
      </c>
      <c r="M15" s="3">
        <f>(L13-20)/20 * 100</f>
        <v>23</v>
      </c>
    </row>
    <row r="17">
      <c r="A17" s="4" t="s">
        <v>9</v>
      </c>
      <c r="B17" s="5">
        <v>1.0</v>
      </c>
      <c r="C17" s="5">
        <v>2.0</v>
      </c>
      <c r="D17" s="5">
        <v>3.0</v>
      </c>
      <c r="E17" s="5">
        <v>4.0</v>
      </c>
      <c r="F17" s="5">
        <v>5.0</v>
      </c>
      <c r="G17" s="5">
        <v>6.0</v>
      </c>
      <c r="H17" s="5">
        <v>7.0</v>
      </c>
      <c r="I17" s="5">
        <v>8.0</v>
      </c>
      <c r="J17" s="5">
        <v>9.0</v>
      </c>
      <c r="K17" s="5">
        <v>10.0</v>
      </c>
      <c r="L17" s="4" t="s">
        <v>1</v>
      </c>
      <c r="M17" s="4" t="s">
        <v>2</v>
      </c>
      <c r="N17" s="4" t="s">
        <v>3</v>
      </c>
    </row>
    <row r="18">
      <c r="A18" s="6" t="s">
        <v>4</v>
      </c>
      <c r="B18" s="7">
        <v>101.0</v>
      </c>
      <c r="C18" s="8">
        <v>106.0</v>
      </c>
      <c r="D18" s="8">
        <v>106.0</v>
      </c>
      <c r="E18" s="8">
        <v>100.0</v>
      </c>
      <c r="F18" s="8">
        <v>112.0</v>
      </c>
      <c r="G18" s="8">
        <v>107.0</v>
      </c>
      <c r="H18" s="8">
        <v>105.0</v>
      </c>
      <c r="I18" s="8">
        <v>101.0</v>
      </c>
      <c r="J18" s="8">
        <v>103.0</v>
      </c>
      <c r="K18" s="8">
        <v>106.0</v>
      </c>
      <c r="L18" s="9">
        <f t="shared" ref="L18:L19" si="4">average(B18:K18)</f>
        <v>104.7</v>
      </c>
      <c r="M18" s="9">
        <f>min(B18:K18)</f>
        <v>100</v>
      </c>
      <c r="N18" s="9">
        <f>max(B18:K18)</f>
        <v>112</v>
      </c>
    </row>
    <row r="19">
      <c r="A19" s="6" t="s">
        <v>5</v>
      </c>
      <c r="B19" s="8">
        <v>101000.0</v>
      </c>
      <c r="C19" s="8">
        <v>96000.0</v>
      </c>
      <c r="D19" s="8">
        <v>91000.0</v>
      </c>
      <c r="E19" s="8">
        <v>80500.0</v>
      </c>
      <c r="F19" s="8">
        <v>85000.0</v>
      </c>
      <c r="G19" s="8">
        <v>106000.0</v>
      </c>
      <c r="H19" s="8">
        <v>65500.0</v>
      </c>
      <c r="I19" s="8">
        <v>83000.0</v>
      </c>
      <c r="J19" s="8">
        <v>80000.0</v>
      </c>
      <c r="K19" s="8">
        <v>86500.0</v>
      </c>
      <c r="L19" s="10">
        <f t="shared" si="4"/>
        <v>87450</v>
      </c>
      <c r="M19" s="6"/>
      <c r="N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 t="s">
        <v>6</v>
      </c>
      <c r="M20" s="9">
        <f>(L18-60)/60 * 100</f>
        <v>74.5</v>
      </c>
      <c r="N20" s="6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1"/>
      <c r="M21" s="11"/>
      <c r="N21" s="11"/>
    </row>
    <row r="22">
      <c r="A22" s="13" t="s">
        <v>10</v>
      </c>
      <c r="B22" s="14">
        <v>1.0</v>
      </c>
      <c r="C22" s="14">
        <v>2.0</v>
      </c>
      <c r="D22" s="14">
        <v>3.0</v>
      </c>
      <c r="E22" s="14">
        <v>4.0</v>
      </c>
      <c r="F22" s="14">
        <v>5.0</v>
      </c>
      <c r="G22" s="14">
        <v>6.0</v>
      </c>
      <c r="H22" s="14">
        <v>7.0</v>
      </c>
      <c r="I22" s="14">
        <v>8.0</v>
      </c>
      <c r="J22" s="14">
        <v>9.0</v>
      </c>
      <c r="K22" s="14">
        <v>10.0</v>
      </c>
      <c r="L22" s="15" t="s">
        <v>1</v>
      </c>
      <c r="M22" s="15" t="s">
        <v>2</v>
      </c>
      <c r="N22" s="15" t="s">
        <v>3</v>
      </c>
    </row>
    <row r="23">
      <c r="A23" s="6" t="s">
        <v>4</v>
      </c>
      <c r="B23" s="7">
        <v>103.0</v>
      </c>
      <c r="C23" s="8">
        <v>106.0</v>
      </c>
      <c r="D23" s="8">
        <v>108.0</v>
      </c>
      <c r="E23" s="8">
        <v>96.0</v>
      </c>
      <c r="F23" s="8">
        <v>111.0</v>
      </c>
      <c r="G23" s="8">
        <v>111.0</v>
      </c>
      <c r="H23" s="8">
        <v>102.0</v>
      </c>
      <c r="I23" s="8">
        <v>104.0</v>
      </c>
      <c r="J23" s="8">
        <v>108.0</v>
      </c>
      <c r="K23" s="8">
        <v>103.0</v>
      </c>
      <c r="L23" s="9">
        <f t="shared" ref="L23:L24" si="5">average(B23:K23)</f>
        <v>105.2</v>
      </c>
      <c r="M23" s="9">
        <f>min(B23:K23)</f>
        <v>96</v>
      </c>
      <c r="N23" s="9">
        <f>max(B23:K23)</f>
        <v>111</v>
      </c>
    </row>
    <row r="24">
      <c r="A24" s="6" t="s">
        <v>5</v>
      </c>
      <c r="B24" s="8">
        <v>93000.0</v>
      </c>
      <c r="C24" s="8">
        <v>91500.0</v>
      </c>
      <c r="D24" s="8">
        <v>97000.0</v>
      </c>
      <c r="E24" s="8">
        <v>91000.0</v>
      </c>
      <c r="F24" s="8">
        <v>100500.0</v>
      </c>
      <c r="G24" s="8">
        <v>82500.0</v>
      </c>
      <c r="H24" s="8">
        <v>98000.0</v>
      </c>
      <c r="I24" s="8">
        <v>86000.0</v>
      </c>
      <c r="J24" s="8">
        <v>92500.0</v>
      </c>
      <c r="K24" s="8">
        <v>101500.0</v>
      </c>
      <c r="L24" s="10">
        <f t="shared" si="5"/>
        <v>93350</v>
      </c>
      <c r="M24" s="6"/>
      <c r="N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 t="s">
        <v>6</v>
      </c>
      <c r="M25" s="16">
        <f>(L23-60)/60 * 100</f>
        <v>75.33333333</v>
      </c>
      <c r="N25" s="6"/>
    </row>
    <row r="26">
      <c r="A26" s="6"/>
      <c r="B26" s="17"/>
      <c r="C26" s="17"/>
      <c r="D26" s="17"/>
      <c r="E26" s="17"/>
      <c r="F26" s="17"/>
      <c r="G26" s="17"/>
      <c r="H26" s="17"/>
      <c r="I26" s="17"/>
      <c r="J26" s="17"/>
      <c r="K26" s="18"/>
      <c r="L26" s="19"/>
      <c r="M26" s="19"/>
      <c r="N26" s="19"/>
    </row>
    <row r="27">
      <c r="A27" s="20" t="s">
        <v>11</v>
      </c>
      <c r="B27" s="5">
        <v>1.0</v>
      </c>
      <c r="C27" s="5">
        <v>2.0</v>
      </c>
      <c r="D27" s="5">
        <v>3.0</v>
      </c>
      <c r="E27" s="5">
        <v>4.0</v>
      </c>
      <c r="F27" s="5">
        <v>5.0</v>
      </c>
      <c r="G27" s="5">
        <v>6.0</v>
      </c>
      <c r="H27" s="5">
        <v>7.0</v>
      </c>
      <c r="I27" s="5">
        <v>8.0</v>
      </c>
      <c r="J27" s="5">
        <v>9.0</v>
      </c>
      <c r="K27" s="5">
        <v>10.0</v>
      </c>
      <c r="L27" s="4" t="s">
        <v>1</v>
      </c>
      <c r="M27" s="4" t="s">
        <v>2</v>
      </c>
      <c r="N27" s="4" t="s">
        <v>3</v>
      </c>
    </row>
    <row r="28">
      <c r="A28" s="6" t="s">
        <v>4</v>
      </c>
      <c r="B28" s="7">
        <v>104.0</v>
      </c>
      <c r="C28" s="8">
        <v>102.0</v>
      </c>
      <c r="D28" s="8">
        <v>109.0</v>
      </c>
      <c r="E28" s="8">
        <v>97.0</v>
      </c>
      <c r="F28" s="8">
        <v>110.0</v>
      </c>
      <c r="G28" s="8">
        <v>114.0</v>
      </c>
      <c r="H28" s="8">
        <v>109.0</v>
      </c>
      <c r="I28" s="8">
        <v>99.0</v>
      </c>
      <c r="J28" s="8">
        <v>108.0</v>
      </c>
      <c r="K28" s="8">
        <v>104.0</v>
      </c>
      <c r="L28" s="9">
        <f t="shared" ref="L28:L29" si="6">average(B28:K28)</f>
        <v>105.6</v>
      </c>
      <c r="M28" s="9">
        <f>min(B28:K28)</f>
        <v>97</v>
      </c>
      <c r="N28" s="9">
        <f>max(B28:K28)</f>
        <v>114</v>
      </c>
    </row>
    <row r="29">
      <c r="A29" s="6" t="s">
        <v>5</v>
      </c>
      <c r="B29" s="8">
        <v>97799.0</v>
      </c>
      <c r="C29" s="8">
        <v>83000.0</v>
      </c>
      <c r="D29" s="8">
        <v>83000.0</v>
      </c>
      <c r="E29" s="8">
        <v>98000.0</v>
      </c>
      <c r="F29" s="8">
        <v>93835.0</v>
      </c>
      <c r="G29" s="8">
        <v>77000.0</v>
      </c>
      <c r="H29" s="8">
        <v>84500.0</v>
      </c>
      <c r="I29" s="8">
        <v>78500.0</v>
      </c>
      <c r="J29" s="8">
        <v>102500.0</v>
      </c>
      <c r="K29" s="8">
        <v>93000.0</v>
      </c>
      <c r="L29" s="10">
        <f t="shared" si="6"/>
        <v>89113.4</v>
      </c>
      <c r="M29" s="6"/>
      <c r="N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 t="s">
        <v>6</v>
      </c>
      <c r="M30" s="9">
        <f>(L28-60)/60 * 100</f>
        <v>76</v>
      </c>
      <c r="N30" s="6"/>
    </row>
    <row r="32">
      <c r="A32" s="20" t="s">
        <v>12</v>
      </c>
      <c r="B32" s="5">
        <v>1.0</v>
      </c>
      <c r="C32" s="5">
        <v>2.0</v>
      </c>
      <c r="D32" s="5">
        <v>3.0</v>
      </c>
      <c r="E32" s="5">
        <v>4.0</v>
      </c>
      <c r="F32" s="5">
        <v>5.0</v>
      </c>
      <c r="G32" s="5">
        <v>6.0</v>
      </c>
      <c r="H32" s="5">
        <v>7.0</v>
      </c>
      <c r="I32" s="5">
        <v>8.0</v>
      </c>
      <c r="J32" s="5">
        <v>9.0</v>
      </c>
      <c r="K32" s="5">
        <v>10.0</v>
      </c>
      <c r="L32" s="4" t="s">
        <v>1</v>
      </c>
      <c r="M32" s="4" t="s">
        <v>2</v>
      </c>
      <c r="N32" s="4" t="s">
        <v>3</v>
      </c>
    </row>
    <row r="33">
      <c r="A33" s="6" t="s">
        <v>4</v>
      </c>
      <c r="B33" s="7">
        <v>200.0</v>
      </c>
      <c r="C33" s="8">
        <v>196.0</v>
      </c>
      <c r="D33" s="8">
        <v>197.0</v>
      </c>
      <c r="E33" s="8">
        <v>208.0</v>
      </c>
      <c r="F33" s="8">
        <v>192.0</v>
      </c>
      <c r="G33" s="8">
        <v>188.0</v>
      </c>
      <c r="H33" s="8">
        <v>188.0</v>
      </c>
      <c r="I33" s="8">
        <v>194.0</v>
      </c>
      <c r="J33" s="8">
        <v>189.0</v>
      </c>
      <c r="K33" s="8">
        <v>190.0</v>
      </c>
      <c r="L33" s="9">
        <f t="shared" ref="L33:L34" si="7">average(B33:K33)</f>
        <v>194.2</v>
      </c>
      <c r="M33" s="9">
        <f>min(B33:K33)</f>
        <v>188</v>
      </c>
      <c r="N33" s="9">
        <f>max(B33:K33)</f>
        <v>208</v>
      </c>
    </row>
    <row r="34">
      <c r="A34" s="6" t="s">
        <v>5</v>
      </c>
      <c r="B34" s="8">
        <v>27000.0</v>
      </c>
      <c r="C34" s="8">
        <v>24500.0</v>
      </c>
      <c r="D34" s="8">
        <v>24000.0</v>
      </c>
      <c r="E34" s="8">
        <v>24500.0</v>
      </c>
      <c r="F34" s="8">
        <v>23500.0</v>
      </c>
      <c r="G34" s="8">
        <v>25500.0</v>
      </c>
      <c r="H34" s="8">
        <v>27000.0</v>
      </c>
      <c r="I34" s="8">
        <v>28500.0</v>
      </c>
      <c r="J34" s="8">
        <v>25000.0</v>
      </c>
      <c r="K34" s="8">
        <v>20500.0</v>
      </c>
      <c r="L34" s="10">
        <f t="shared" si="7"/>
        <v>25000</v>
      </c>
      <c r="M34" s="6"/>
      <c r="N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 t="s">
        <v>6</v>
      </c>
      <c r="M35" s="9">
        <f>(L33-100)/100 * 100</f>
        <v>94.2</v>
      </c>
      <c r="N35" s="6"/>
    </row>
    <row r="37">
      <c r="A37" s="20" t="s">
        <v>13</v>
      </c>
      <c r="B37" s="5">
        <v>1.0</v>
      </c>
      <c r="C37" s="5">
        <v>2.0</v>
      </c>
      <c r="D37" s="5">
        <v>3.0</v>
      </c>
      <c r="E37" s="5">
        <v>4.0</v>
      </c>
      <c r="F37" s="5">
        <v>5.0</v>
      </c>
      <c r="G37" s="5">
        <v>6.0</v>
      </c>
      <c r="H37" s="5">
        <v>7.0</v>
      </c>
      <c r="I37" s="5">
        <v>8.0</v>
      </c>
      <c r="J37" s="5">
        <v>9.0</v>
      </c>
      <c r="K37" s="5">
        <v>10.0</v>
      </c>
      <c r="L37" s="4" t="s">
        <v>1</v>
      </c>
      <c r="M37" s="4" t="s">
        <v>2</v>
      </c>
      <c r="N37" s="4" t="s">
        <v>3</v>
      </c>
    </row>
    <row r="38">
      <c r="A38" s="6" t="s">
        <v>4</v>
      </c>
      <c r="B38" s="7">
        <v>198.0</v>
      </c>
      <c r="C38" s="8">
        <v>188.0</v>
      </c>
      <c r="D38" s="8">
        <v>194.0</v>
      </c>
      <c r="E38" s="8">
        <v>207.0</v>
      </c>
      <c r="F38" s="8">
        <v>194.0</v>
      </c>
      <c r="G38" s="8">
        <v>181.0</v>
      </c>
      <c r="H38" s="8">
        <v>189.0</v>
      </c>
      <c r="I38" s="8">
        <v>197.0</v>
      </c>
      <c r="J38" s="8">
        <v>191.0</v>
      </c>
      <c r="K38" s="8">
        <v>191.0</v>
      </c>
      <c r="L38" s="9">
        <f t="shared" ref="L38:L39" si="8">average(B38:K38)</f>
        <v>193</v>
      </c>
      <c r="M38" s="9">
        <f>min(B38:K38)</f>
        <v>181</v>
      </c>
      <c r="N38" s="9">
        <f>max(B38:K38)</f>
        <v>207</v>
      </c>
    </row>
    <row r="39">
      <c r="A39" s="6" t="s">
        <v>5</v>
      </c>
      <c r="B39" s="8">
        <v>26000.0</v>
      </c>
      <c r="C39" s="8">
        <v>23500.0</v>
      </c>
      <c r="D39" s="8">
        <v>26500.0</v>
      </c>
      <c r="E39" s="8">
        <v>26000.0</v>
      </c>
      <c r="F39" s="8">
        <v>25000.0</v>
      </c>
      <c r="G39" s="8">
        <v>27000.0</v>
      </c>
      <c r="H39" s="8">
        <v>21000.0</v>
      </c>
      <c r="I39" s="8">
        <v>23000.0</v>
      </c>
      <c r="J39" s="8">
        <v>22500.0</v>
      </c>
      <c r="K39" s="8">
        <v>26000.0</v>
      </c>
      <c r="L39" s="10">
        <f t="shared" si="8"/>
        <v>24650</v>
      </c>
      <c r="M39" s="6"/>
      <c r="N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 t="s">
        <v>6</v>
      </c>
      <c r="M40" s="9">
        <f>(L38-100)/100 * 100</f>
        <v>93</v>
      </c>
      <c r="N40" s="6"/>
    </row>
    <row r="42">
      <c r="A42" s="20" t="s">
        <v>14</v>
      </c>
      <c r="B42" s="5">
        <v>1.0</v>
      </c>
      <c r="C42" s="5">
        <v>2.0</v>
      </c>
      <c r="D42" s="5">
        <v>3.0</v>
      </c>
      <c r="E42" s="5">
        <v>4.0</v>
      </c>
      <c r="F42" s="5">
        <v>5.0</v>
      </c>
      <c r="G42" s="5">
        <v>6.0</v>
      </c>
      <c r="H42" s="5">
        <v>7.0</v>
      </c>
      <c r="I42" s="5">
        <v>8.0</v>
      </c>
      <c r="J42" s="5">
        <v>9.0</v>
      </c>
      <c r="K42" s="5">
        <v>10.0</v>
      </c>
      <c r="L42" s="4" t="s">
        <v>1</v>
      </c>
      <c r="M42" s="4" t="s">
        <v>2</v>
      </c>
      <c r="N42" s="4" t="s">
        <v>3</v>
      </c>
    </row>
    <row r="43">
      <c r="A43" s="6" t="s">
        <v>4</v>
      </c>
      <c r="B43" s="7">
        <v>202.0</v>
      </c>
      <c r="C43" s="8">
        <v>196.0</v>
      </c>
      <c r="D43" s="8">
        <v>199.0</v>
      </c>
      <c r="E43" s="8">
        <v>197.0</v>
      </c>
      <c r="F43" s="8">
        <v>196.0</v>
      </c>
      <c r="G43" s="8">
        <v>193.0</v>
      </c>
      <c r="H43" s="8">
        <v>194.0</v>
      </c>
      <c r="I43" s="8">
        <v>203.0</v>
      </c>
      <c r="J43" s="8">
        <v>190.0</v>
      </c>
      <c r="K43" s="8">
        <v>189.0</v>
      </c>
      <c r="L43" s="9">
        <f t="shared" ref="L43:L44" si="9">average(B43:K43)</f>
        <v>195.9</v>
      </c>
      <c r="M43" s="9">
        <f>min(B43:K43)</f>
        <v>189</v>
      </c>
      <c r="N43" s="9">
        <f>max(B43:K43)</f>
        <v>203</v>
      </c>
    </row>
    <row r="44">
      <c r="A44" s="6" t="s">
        <v>5</v>
      </c>
      <c r="B44" s="8">
        <v>25500.0</v>
      </c>
      <c r="C44" s="8">
        <v>25000.0</v>
      </c>
      <c r="D44" s="8">
        <v>25000.0</v>
      </c>
      <c r="E44" s="8">
        <v>24000.0</v>
      </c>
      <c r="F44" s="8">
        <v>21500.0</v>
      </c>
      <c r="G44" s="8">
        <v>24500.0</v>
      </c>
      <c r="H44" s="8">
        <v>22500.0</v>
      </c>
      <c r="I44" s="8">
        <v>26000.0</v>
      </c>
      <c r="J44" s="8">
        <v>21000.0</v>
      </c>
      <c r="K44" s="8">
        <v>20000.0</v>
      </c>
      <c r="L44" s="10">
        <f t="shared" si="9"/>
        <v>23500</v>
      </c>
      <c r="M44" s="6"/>
      <c r="N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 t="s">
        <v>6</v>
      </c>
      <c r="M45" s="9">
        <f>(L43-100)/100 * 100</f>
        <v>95.9</v>
      </c>
      <c r="N45" s="6"/>
    </row>
    <row r="49">
      <c r="A49" s="21"/>
    </row>
    <row r="50">
      <c r="A50" s="22"/>
    </row>
    <row r="51">
      <c r="A51" s="21"/>
    </row>
    <row r="52">
      <c r="A52" s="23"/>
    </row>
    <row r="53">
      <c r="A53" s="21"/>
    </row>
    <row r="54">
      <c r="A54" s="23"/>
    </row>
    <row r="55">
      <c r="A55" s="21"/>
    </row>
    <row r="56">
      <c r="A56" s="23"/>
    </row>
    <row r="57">
      <c r="A57" s="21"/>
    </row>
    <row r="58">
      <c r="A58" s="23"/>
    </row>
    <row r="59">
      <c r="A59" s="2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15</v>
      </c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>
        <v>6.0</v>
      </c>
      <c r="H2" s="1">
        <v>7.0</v>
      </c>
      <c r="I2" s="1">
        <v>8.0</v>
      </c>
      <c r="J2" s="1">
        <v>9.0</v>
      </c>
      <c r="K2" s="1">
        <v>10.0</v>
      </c>
      <c r="L2" s="1" t="s">
        <v>1</v>
      </c>
      <c r="M2" s="1" t="s">
        <v>2</v>
      </c>
      <c r="N2" s="1" t="s">
        <v>3</v>
      </c>
    </row>
    <row r="3">
      <c r="A3" s="2" t="s">
        <v>4</v>
      </c>
      <c r="B3" s="2">
        <v>111.0</v>
      </c>
      <c r="C3" s="2">
        <v>109.0</v>
      </c>
      <c r="D3" s="2">
        <v>111.0</v>
      </c>
      <c r="E3" s="2">
        <v>109.0</v>
      </c>
      <c r="F3" s="2">
        <v>109.0</v>
      </c>
      <c r="G3" s="2">
        <v>111.0</v>
      </c>
      <c r="H3" s="2">
        <v>99.0</v>
      </c>
      <c r="I3" s="2">
        <v>118.0</v>
      </c>
      <c r="J3" s="2">
        <v>103.0</v>
      </c>
      <c r="K3" s="2">
        <v>115.0</v>
      </c>
      <c r="L3" s="3">
        <f>average(B3:K3)</f>
        <v>109.5</v>
      </c>
      <c r="M3" s="3">
        <f>min(B3:K3)</f>
        <v>99</v>
      </c>
      <c r="N3" s="3">
        <f>max(B3:K3)</f>
        <v>118</v>
      </c>
    </row>
    <row r="4">
      <c r="L4" s="2" t="s">
        <v>6</v>
      </c>
      <c r="M4" s="3">
        <f>(L3-60)/60 * 100</f>
        <v>82.5</v>
      </c>
    </row>
    <row r="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 t="s">
        <v>1</v>
      </c>
      <c r="M5" s="1" t="s">
        <v>2</v>
      </c>
      <c r="N5" s="1" t="s">
        <v>3</v>
      </c>
    </row>
    <row r="6">
      <c r="A6" s="2" t="s">
        <v>4</v>
      </c>
      <c r="B6" s="2">
        <v>115.0</v>
      </c>
      <c r="C6" s="2">
        <v>106.0</v>
      </c>
      <c r="D6" s="2">
        <v>111.0</v>
      </c>
      <c r="E6" s="2">
        <v>100.0</v>
      </c>
      <c r="F6" s="2">
        <v>111.0</v>
      </c>
      <c r="G6" s="2">
        <v>112.0</v>
      </c>
      <c r="H6" s="2">
        <v>98.0</v>
      </c>
      <c r="I6" s="2">
        <v>117.0</v>
      </c>
      <c r="J6" s="2">
        <v>103.0</v>
      </c>
      <c r="K6" s="2">
        <v>111.0</v>
      </c>
      <c r="L6" s="3">
        <f>average(B6:K6)</f>
        <v>108.4</v>
      </c>
      <c r="M6" s="3">
        <f>min(B6:K6)</f>
        <v>98</v>
      </c>
      <c r="N6" s="3">
        <f>max(B6:K6)</f>
        <v>117</v>
      </c>
    </row>
    <row r="7">
      <c r="L7" s="2" t="s">
        <v>6</v>
      </c>
      <c r="M7" s="3">
        <f>(L6-60)/60 * 100</f>
        <v>80.66666667</v>
      </c>
    </row>
    <row r="8">
      <c r="A8" s="1" t="s">
        <v>17</v>
      </c>
      <c r="B8" s="1">
        <v>1.0</v>
      </c>
      <c r="C8" s="1">
        <v>2.0</v>
      </c>
      <c r="D8" s="1">
        <v>3.0</v>
      </c>
      <c r="E8" s="1">
        <v>4.0</v>
      </c>
      <c r="F8" s="1">
        <v>5.0</v>
      </c>
      <c r="G8" s="1">
        <v>6.0</v>
      </c>
      <c r="H8" s="1">
        <v>7.0</v>
      </c>
      <c r="I8" s="1">
        <v>8.0</v>
      </c>
      <c r="J8" s="1">
        <v>9.0</v>
      </c>
      <c r="K8" s="1">
        <v>10.0</v>
      </c>
      <c r="L8" s="1" t="s">
        <v>1</v>
      </c>
      <c r="M8" s="1" t="s">
        <v>2</v>
      </c>
      <c r="N8" s="1" t="s">
        <v>3</v>
      </c>
    </row>
    <row r="9">
      <c r="A9" s="2" t="s">
        <v>4</v>
      </c>
      <c r="B9" s="2">
        <v>106.0</v>
      </c>
      <c r="C9" s="2">
        <v>109.0</v>
      </c>
      <c r="D9" s="2">
        <v>106.0</v>
      </c>
      <c r="E9" s="2">
        <v>102.0</v>
      </c>
      <c r="F9" s="2">
        <v>106.0</v>
      </c>
      <c r="G9" s="2">
        <v>113.0</v>
      </c>
      <c r="H9" s="2">
        <v>98.0</v>
      </c>
      <c r="I9" s="2">
        <v>114.0</v>
      </c>
      <c r="J9" s="2">
        <v>107.0</v>
      </c>
      <c r="K9" s="2">
        <v>107.0</v>
      </c>
      <c r="L9" s="3">
        <f>average(B9:K9)</f>
        <v>106.8</v>
      </c>
      <c r="M9" s="3">
        <f>min(B9:K9)</f>
        <v>98</v>
      </c>
      <c r="N9" s="3">
        <f>max(B9:K9)</f>
        <v>114</v>
      </c>
    </row>
    <row r="10">
      <c r="L10" s="2" t="s">
        <v>6</v>
      </c>
      <c r="M10" s="3">
        <f>(L9-60)/60 * 100</f>
        <v>78</v>
      </c>
    </row>
    <row r="11">
      <c r="A11" s="1" t="s">
        <v>18</v>
      </c>
      <c r="B11" s="1">
        <v>1.0</v>
      </c>
      <c r="C11" s="1">
        <v>2.0</v>
      </c>
      <c r="D11" s="1">
        <v>3.0</v>
      </c>
      <c r="E11" s="1">
        <v>4.0</v>
      </c>
      <c r="F11" s="1">
        <v>5.0</v>
      </c>
      <c r="G11" s="1">
        <v>6.0</v>
      </c>
      <c r="H11" s="1">
        <v>7.0</v>
      </c>
      <c r="I11" s="1">
        <v>8.0</v>
      </c>
      <c r="J11" s="1">
        <v>9.0</v>
      </c>
      <c r="K11" s="1">
        <v>10.0</v>
      </c>
      <c r="L11" s="1" t="s">
        <v>1</v>
      </c>
      <c r="M11" s="1" t="s">
        <v>2</v>
      </c>
      <c r="N11" s="1" t="s">
        <v>3</v>
      </c>
    </row>
    <row r="12">
      <c r="A12" s="2" t="s">
        <v>4</v>
      </c>
      <c r="B12" s="2">
        <v>106.0</v>
      </c>
      <c r="C12" s="2">
        <v>104.0</v>
      </c>
      <c r="D12" s="2">
        <v>103.0</v>
      </c>
      <c r="E12" s="2">
        <v>103.0</v>
      </c>
      <c r="F12" s="2">
        <v>108.0</v>
      </c>
      <c r="G12" s="2">
        <v>101.0</v>
      </c>
      <c r="H12" s="2">
        <v>98.0</v>
      </c>
      <c r="I12" s="2">
        <v>114.0</v>
      </c>
      <c r="J12" s="2">
        <v>103.0</v>
      </c>
      <c r="K12" s="2">
        <v>107.0</v>
      </c>
      <c r="L12" s="3">
        <f>average(B12:K12)</f>
        <v>104.7</v>
      </c>
      <c r="M12" s="3">
        <f>min(B12:K12)</f>
        <v>98</v>
      </c>
      <c r="N12" s="3">
        <f>max(B12:K12)</f>
        <v>114</v>
      </c>
    </row>
    <row r="13">
      <c r="L13" s="2" t="s">
        <v>6</v>
      </c>
      <c r="M13" s="3">
        <f>(L12-60)/60 * 100</f>
        <v>74.5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2">
      <c r="A2" s="1" t="s">
        <v>19</v>
      </c>
      <c r="B2" s="1">
        <v>1.0</v>
      </c>
      <c r="C2" s="1">
        <v>2.0</v>
      </c>
      <c r="D2" s="1">
        <v>3.0</v>
      </c>
      <c r="E2" s="1">
        <v>4.0</v>
      </c>
      <c r="F2" s="1">
        <v>5.0</v>
      </c>
      <c r="G2" s="1">
        <v>6.0</v>
      </c>
      <c r="H2" s="1">
        <v>7.0</v>
      </c>
      <c r="I2" s="1">
        <v>8.0</v>
      </c>
      <c r="J2" s="1">
        <v>9.0</v>
      </c>
      <c r="K2" s="1">
        <v>10.0</v>
      </c>
      <c r="L2" s="1" t="s">
        <v>1</v>
      </c>
      <c r="M2" s="1" t="s">
        <v>2</v>
      </c>
      <c r="N2" s="1" t="s">
        <v>3</v>
      </c>
    </row>
    <row r="3">
      <c r="A3" s="2" t="s">
        <v>4</v>
      </c>
      <c r="B3" s="2">
        <v>111.0</v>
      </c>
      <c r="C3" s="2">
        <v>107.0</v>
      </c>
      <c r="D3" s="2">
        <v>106.0</v>
      </c>
      <c r="E3" s="2">
        <v>99.0</v>
      </c>
      <c r="F3" s="2">
        <v>106.0</v>
      </c>
      <c r="G3" s="2">
        <v>107.0</v>
      </c>
      <c r="H3" s="2">
        <v>99.0</v>
      </c>
      <c r="I3" s="2">
        <v>108.0</v>
      </c>
      <c r="J3" s="2">
        <v>109.0</v>
      </c>
      <c r="K3" s="2">
        <v>107.0</v>
      </c>
      <c r="L3" s="3">
        <f t="shared" ref="L3:L4" si="1">average(B3:K3)</f>
        <v>105.9</v>
      </c>
      <c r="M3" s="3">
        <f>min(B3:K3)</f>
        <v>99</v>
      </c>
      <c r="N3" s="3">
        <f>max(B3:K3)</f>
        <v>111</v>
      </c>
    </row>
    <row r="4">
      <c r="A4" s="6" t="s">
        <v>5</v>
      </c>
      <c r="B4" s="8">
        <v>280000.0</v>
      </c>
      <c r="C4" s="8">
        <v>298500.0</v>
      </c>
      <c r="D4" s="8">
        <v>284500.0</v>
      </c>
      <c r="E4" s="8">
        <v>296500.0</v>
      </c>
      <c r="F4" s="8">
        <v>284500.0</v>
      </c>
      <c r="G4" s="8">
        <v>246000.0</v>
      </c>
      <c r="H4" s="8">
        <v>296000.0</v>
      </c>
      <c r="I4" s="8">
        <v>278500.0</v>
      </c>
      <c r="J4" s="8">
        <v>282000.0</v>
      </c>
      <c r="K4" s="8">
        <v>269500.0</v>
      </c>
      <c r="L4" s="10">
        <f t="shared" si="1"/>
        <v>281600</v>
      </c>
      <c r="M4" s="6"/>
      <c r="N4" s="6"/>
    </row>
    <row r="5">
      <c r="L5" s="2" t="s">
        <v>6</v>
      </c>
      <c r="M5" s="3">
        <f>(L3-60)/60 * 100</f>
        <v>76.5</v>
      </c>
    </row>
    <row r="6">
      <c r="A6" s="1" t="s">
        <v>20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 t="s">
        <v>1</v>
      </c>
      <c r="M6" s="1" t="s">
        <v>2</v>
      </c>
      <c r="N6" s="1" t="s">
        <v>3</v>
      </c>
    </row>
    <row r="7" ht="16.5" customHeight="1">
      <c r="A7" s="2" t="s">
        <v>4</v>
      </c>
      <c r="B7" s="2">
        <v>107.0</v>
      </c>
      <c r="C7" s="2">
        <v>105.0</v>
      </c>
      <c r="D7" s="2">
        <v>108.0</v>
      </c>
      <c r="E7" s="2">
        <v>100.0</v>
      </c>
      <c r="F7" s="2">
        <v>109.0</v>
      </c>
      <c r="G7" s="2">
        <v>104.0</v>
      </c>
      <c r="H7" s="2">
        <v>100.0</v>
      </c>
      <c r="I7" s="2">
        <v>108.0</v>
      </c>
      <c r="J7" s="2">
        <v>104.0</v>
      </c>
      <c r="K7" s="2">
        <v>106.0</v>
      </c>
      <c r="L7" s="3">
        <f t="shared" ref="L7:L8" si="2">average(B7:K7)</f>
        <v>105.1</v>
      </c>
      <c r="M7" s="3">
        <f>min(B7:K7)</f>
        <v>100</v>
      </c>
      <c r="N7" s="3">
        <f>max(B7:K7)</f>
        <v>109</v>
      </c>
    </row>
    <row r="8">
      <c r="A8" s="6" t="s">
        <v>5</v>
      </c>
      <c r="B8" s="8">
        <v>114000.0</v>
      </c>
      <c r="C8" s="8">
        <v>112000.0</v>
      </c>
      <c r="D8" s="8">
        <v>100000.0</v>
      </c>
      <c r="E8" s="8">
        <v>101000.0</v>
      </c>
      <c r="F8" s="8">
        <v>99500.0</v>
      </c>
      <c r="G8" s="8">
        <v>96000.0</v>
      </c>
      <c r="H8" s="8">
        <v>98000.0</v>
      </c>
      <c r="I8" s="8">
        <v>98500.0</v>
      </c>
      <c r="J8" s="8">
        <v>97500.0</v>
      </c>
      <c r="K8" s="8">
        <v>99000.0</v>
      </c>
      <c r="L8" s="10">
        <f t="shared" si="2"/>
        <v>101550</v>
      </c>
      <c r="M8" s="6"/>
      <c r="N8" s="6"/>
    </row>
    <row r="9">
      <c r="L9" s="2" t="s">
        <v>6</v>
      </c>
      <c r="M9" s="3">
        <f>(L7-60)/60 * 100</f>
        <v>75.16666667</v>
      </c>
    </row>
    <row r="10">
      <c r="A10" s="1" t="s">
        <v>21</v>
      </c>
      <c r="B10" s="1">
        <v>1.0</v>
      </c>
      <c r="C10" s="1">
        <v>2.0</v>
      </c>
      <c r="D10" s="1">
        <v>3.0</v>
      </c>
      <c r="E10" s="1">
        <v>4.0</v>
      </c>
      <c r="F10" s="1">
        <v>5.0</v>
      </c>
      <c r="G10" s="1">
        <v>6.0</v>
      </c>
      <c r="H10" s="1">
        <v>7.0</v>
      </c>
      <c r="I10" s="1">
        <v>8.0</v>
      </c>
      <c r="J10" s="1">
        <v>9.0</v>
      </c>
      <c r="K10" s="1">
        <v>10.0</v>
      </c>
      <c r="L10" s="1" t="s">
        <v>1</v>
      </c>
      <c r="M10" s="1" t="s">
        <v>2</v>
      </c>
      <c r="N10" s="1" t="s">
        <v>3</v>
      </c>
    </row>
    <row r="11">
      <c r="A11" s="2" t="s">
        <v>4</v>
      </c>
      <c r="B11" s="2">
        <v>112.0</v>
      </c>
      <c r="C11" s="2">
        <v>111.0</v>
      </c>
      <c r="D11" s="2">
        <v>99.0</v>
      </c>
      <c r="E11" s="2">
        <v>99.0</v>
      </c>
      <c r="F11" s="2">
        <v>108.0</v>
      </c>
      <c r="G11" s="2">
        <v>108.0</v>
      </c>
      <c r="H11" s="2">
        <v>103.0</v>
      </c>
      <c r="I11" s="2">
        <v>117.0</v>
      </c>
      <c r="J11" s="2">
        <v>107.0</v>
      </c>
      <c r="K11" s="2">
        <v>105.0</v>
      </c>
      <c r="L11" s="3">
        <f t="shared" ref="L11:L12" si="3">average(B11:K11)</f>
        <v>106.9</v>
      </c>
      <c r="M11" s="3">
        <f>min(B11:K11)</f>
        <v>99</v>
      </c>
      <c r="N11" s="3">
        <f>max(B11:K11)</f>
        <v>117</v>
      </c>
    </row>
    <row r="12">
      <c r="A12" s="6" t="s">
        <v>5</v>
      </c>
      <c r="B12" s="8">
        <v>51000.0</v>
      </c>
      <c r="C12" s="8">
        <v>48500.0</v>
      </c>
      <c r="D12" s="8">
        <v>40500.0</v>
      </c>
      <c r="E12" s="8">
        <v>42000.0</v>
      </c>
      <c r="F12" s="8">
        <v>43000.0</v>
      </c>
      <c r="G12" s="8">
        <v>45000.0</v>
      </c>
      <c r="H12" s="8">
        <v>49500.0</v>
      </c>
      <c r="I12" s="8">
        <v>48000.0</v>
      </c>
      <c r="J12" s="8">
        <v>48500.0</v>
      </c>
      <c r="K12" s="8">
        <v>44000.0</v>
      </c>
      <c r="L12" s="10">
        <f t="shared" si="3"/>
        <v>46000</v>
      </c>
      <c r="M12" s="6"/>
      <c r="N12" s="6"/>
    </row>
    <row r="13">
      <c r="L13" s="2" t="s">
        <v>6</v>
      </c>
      <c r="M13" s="3">
        <f>(L11-60)/60 * 100</f>
        <v>78.16666667</v>
      </c>
    </row>
    <row r="14">
      <c r="A14" s="1" t="s">
        <v>22</v>
      </c>
      <c r="B14" s="1">
        <v>1.0</v>
      </c>
      <c r="C14" s="1">
        <v>2.0</v>
      </c>
      <c r="D14" s="1">
        <v>3.0</v>
      </c>
      <c r="E14" s="1">
        <v>4.0</v>
      </c>
      <c r="F14" s="1">
        <v>5.0</v>
      </c>
      <c r="G14" s="1">
        <v>6.0</v>
      </c>
      <c r="H14" s="1">
        <v>7.0</v>
      </c>
      <c r="I14" s="1">
        <v>8.0</v>
      </c>
      <c r="J14" s="1">
        <v>9.0</v>
      </c>
      <c r="K14" s="1">
        <v>10.0</v>
      </c>
      <c r="L14" s="1" t="s">
        <v>1</v>
      </c>
      <c r="M14" s="1" t="s">
        <v>2</v>
      </c>
      <c r="N14" s="1" t="s">
        <v>3</v>
      </c>
    </row>
    <row r="15">
      <c r="A15" s="2" t="s">
        <v>4</v>
      </c>
      <c r="B15" s="2">
        <v>106.0</v>
      </c>
      <c r="C15" s="2">
        <v>109.0</v>
      </c>
      <c r="D15" s="2">
        <v>109.0</v>
      </c>
      <c r="E15" s="2">
        <v>103.0</v>
      </c>
      <c r="F15" s="2">
        <v>111.0</v>
      </c>
      <c r="G15" s="2">
        <v>115.0</v>
      </c>
      <c r="H15" s="2">
        <v>103.0</v>
      </c>
      <c r="I15" s="2">
        <v>118.0</v>
      </c>
      <c r="J15" s="2">
        <v>105.0</v>
      </c>
      <c r="K15" s="2">
        <v>106.0</v>
      </c>
      <c r="L15" s="3">
        <f t="shared" ref="L15:L16" si="4">average(B15:K15)</f>
        <v>108.5</v>
      </c>
      <c r="M15" s="3">
        <f>min(B15:K15)</f>
        <v>103</v>
      </c>
      <c r="N15" s="3">
        <f>max(B15:K15)</f>
        <v>118</v>
      </c>
    </row>
    <row r="16">
      <c r="A16" s="6" t="s">
        <v>5</v>
      </c>
      <c r="B16" s="8">
        <v>27000.0</v>
      </c>
      <c r="C16" s="8">
        <v>29500.0</v>
      </c>
      <c r="D16" s="8">
        <v>24500.0</v>
      </c>
      <c r="E16" s="8">
        <v>22000.0</v>
      </c>
      <c r="F16" s="8">
        <v>23500.0</v>
      </c>
      <c r="G16" s="8">
        <v>24500.0</v>
      </c>
      <c r="H16" s="8">
        <v>24500.0</v>
      </c>
      <c r="I16" s="8">
        <v>23000.0</v>
      </c>
      <c r="J16" s="8">
        <v>21000.0</v>
      </c>
      <c r="K16" s="8">
        <v>22000.0</v>
      </c>
      <c r="L16" s="10">
        <f t="shared" si="4"/>
        <v>24150</v>
      </c>
      <c r="M16" s="6"/>
      <c r="N16" s="6"/>
    </row>
    <row r="17">
      <c r="L17" s="2" t="s">
        <v>6</v>
      </c>
      <c r="M17" s="3">
        <f>(L15-60)/60 * 100</f>
        <v>80.83333333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3">
      <c r="A3" s="1" t="s">
        <v>23</v>
      </c>
      <c r="B3" s="1">
        <v>1.0</v>
      </c>
      <c r="C3" s="1">
        <v>2.0</v>
      </c>
      <c r="D3" s="1">
        <v>3.0</v>
      </c>
      <c r="E3" s="1">
        <v>4.0</v>
      </c>
      <c r="F3" s="1">
        <v>5.0</v>
      </c>
      <c r="G3" s="1">
        <v>6.0</v>
      </c>
      <c r="H3" s="1">
        <v>7.0</v>
      </c>
      <c r="I3" s="1">
        <v>8.0</v>
      </c>
      <c r="J3" s="1">
        <v>9.0</v>
      </c>
      <c r="K3" s="1">
        <v>10.0</v>
      </c>
      <c r="L3" s="1" t="s">
        <v>1</v>
      </c>
      <c r="M3" s="1" t="s">
        <v>2</v>
      </c>
      <c r="N3" s="1" t="s">
        <v>3</v>
      </c>
    </row>
    <row r="4">
      <c r="A4" s="2" t="s">
        <v>4</v>
      </c>
      <c r="B4" s="2">
        <v>61.0</v>
      </c>
      <c r="C4" s="2">
        <v>62.0</v>
      </c>
      <c r="D4" s="2">
        <v>65.0</v>
      </c>
      <c r="E4" s="2">
        <v>60.0</v>
      </c>
      <c r="F4" s="2">
        <v>62.0</v>
      </c>
      <c r="G4" s="2">
        <v>59.0</v>
      </c>
      <c r="H4" s="2">
        <v>67.0</v>
      </c>
      <c r="I4" s="2">
        <v>65.0</v>
      </c>
      <c r="J4" s="2">
        <v>65.0</v>
      </c>
      <c r="K4" s="2">
        <v>61.0</v>
      </c>
      <c r="L4" s="3">
        <f>average(B4:K4)</f>
        <v>62.7</v>
      </c>
      <c r="M4" s="3">
        <f>min(B4:K4)</f>
        <v>59</v>
      </c>
      <c r="N4" s="3">
        <f>max(B4:K4)</f>
        <v>67</v>
      </c>
    </row>
    <row r="5">
      <c r="L5" s="2" t="s">
        <v>6</v>
      </c>
      <c r="M5" s="3">
        <f>(L4-40)/40 * 100</f>
        <v>56.75</v>
      </c>
    </row>
    <row r="6">
      <c r="A6" s="1" t="s">
        <v>24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 t="s">
        <v>1</v>
      </c>
      <c r="M6" s="1" t="s">
        <v>2</v>
      </c>
      <c r="N6" s="1" t="s">
        <v>3</v>
      </c>
    </row>
    <row r="7" ht="16.5" customHeight="1">
      <c r="A7" s="2" t="s">
        <v>4</v>
      </c>
      <c r="B7" s="2">
        <v>48.0</v>
      </c>
      <c r="C7" s="2">
        <v>48.0</v>
      </c>
      <c r="D7" s="2">
        <v>44.0</v>
      </c>
      <c r="E7" s="2">
        <v>46.0</v>
      </c>
      <c r="F7" s="2">
        <v>46.0</v>
      </c>
      <c r="G7" s="2">
        <v>46.0</v>
      </c>
      <c r="H7" s="2">
        <v>44.0</v>
      </c>
      <c r="I7" s="2">
        <v>46.0</v>
      </c>
      <c r="J7" s="2">
        <v>48.0</v>
      </c>
      <c r="K7" s="2">
        <v>48.0</v>
      </c>
      <c r="L7" s="3">
        <f>average(B7:K7)</f>
        <v>46.4</v>
      </c>
      <c r="M7" s="3">
        <f>min(B7:K7)</f>
        <v>44</v>
      </c>
      <c r="N7" s="3">
        <f>max(B7:K7)</f>
        <v>48</v>
      </c>
    </row>
    <row r="8">
      <c r="L8" s="2" t="s">
        <v>6</v>
      </c>
      <c r="M8" s="3">
        <f>(L7-40)/40 * 100</f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25</v>
      </c>
      <c r="B1" s="2" t="s">
        <v>26</v>
      </c>
      <c r="C1" s="2" t="s">
        <v>27</v>
      </c>
      <c r="D1" s="2" t="s">
        <v>28</v>
      </c>
    </row>
    <row r="2">
      <c r="A2" s="2" t="s">
        <v>29</v>
      </c>
      <c r="B2" s="2">
        <v>21.1</v>
      </c>
      <c r="C2" s="2">
        <v>22.4</v>
      </c>
      <c r="D2" s="2">
        <v>24.6</v>
      </c>
    </row>
    <row r="3">
      <c r="A3" s="2" t="s">
        <v>30</v>
      </c>
      <c r="B3" s="2">
        <v>104.7</v>
      </c>
      <c r="C3" s="2">
        <v>105.2</v>
      </c>
      <c r="D3" s="2">
        <v>105.6</v>
      </c>
    </row>
    <row r="4">
      <c r="A4" s="2" t="s">
        <v>31</v>
      </c>
      <c r="B4" s="2">
        <v>194.2</v>
      </c>
      <c r="C4" s="2">
        <v>193.0</v>
      </c>
      <c r="D4" s="2">
        <v>195.9</v>
      </c>
    </row>
    <row r="9">
      <c r="A9" s="6"/>
      <c r="B9" s="6"/>
      <c r="C9" s="6"/>
      <c r="D9" s="6"/>
      <c r="E9" s="6"/>
      <c r="F9" s="6"/>
      <c r="G9" s="6"/>
      <c r="H9" s="6"/>
      <c r="I9" s="6"/>
    </row>
    <row r="10">
      <c r="A10" s="25"/>
      <c r="B10" s="6"/>
      <c r="C10" s="6"/>
      <c r="D10" s="6"/>
      <c r="E10" s="6"/>
      <c r="F10" s="6"/>
      <c r="G10" s="6"/>
      <c r="H10" s="6"/>
      <c r="I10" s="6"/>
    </row>
    <row r="11">
      <c r="A11" s="6"/>
      <c r="B11" s="6"/>
      <c r="C11" s="6"/>
      <c r="D11" s="6"/>
      <c r="E11" s="6"/>
      <c r="F11" s="6"/>
      <c r="G11" s="6"/>
      <c r="H11" s="6"/>
      <c r="I11" s="6"/>
    </row>
    <row r="12">
      <c r="A12" s="25"/>
      <c r="B12" s="6"/>
      <c r="C12" s="6"/>
      <c r="D12" s="6"/>
      <c r="E12" s="6"/>
      <c r="F12" s="6"/>
      <c r="G12" s="6"/>
      <c r="H12" s="6"/>
      <c r="I12" s="6"/>
    </row>
    <row r="13">
      <c r="A13" s="6"/>
      <c r="B13" s="6"/>
      <c r="C13" s="6"/>
      <c r="D13" s="6"/>
      <c r="E13" s="6"/>
      <c r="F13" s="6"/>
      <c r="G13" s="6"/>
      <c r="H13" s="6"/>
      <c r="I13" s="6"/>
    </row>
    <row r="14">
      <c r="A14" s="25"/>
      <c r="B14" s="6"/>
      <c r="C14" s="6"/>
      <c r="D14" s="6"/>
      <c r="E14" s="6"/>
      <c r="F14" s="6"/>
      <c r="G14" s="6"/>
      <c r="H14" s="6"/>
      <c r="I14" s="6"/>
    </row>
    <row r="15">
      <c r="A15" s="6"/>
      <c r="B15" s="6"/>
      <c r="C15" s="6"/>
      <c r="D15" s="6"/>
      <c r="E15" s="6"/>
      <c r="F15" s="6"/>
      <c r="G15" s="6"/>
      <c r="H15" s="6"/>
      <c r="I15" s="6"/>
    </row>
    <row r="16">
      <c r="A16" s="25"/>
      <c r="B16" s="6"/>
      <c r="C16" s="6"/>
      <c r="D16" s="6"/>
      <c r="E16" s="6"/>
      <c r="F16" s="6"/>
      <c r="G16" s="6"/>
      <c r="H16" s="6"/>
      <c r="I16" s="6"/>
    </row>
    <row r="17">
      <c r="A17" s="6"/>
      <c r="B17" s="6"/>
      <c r="C17" s="6"/>
      <c r="D17" s="6"/>
      <c r="E17" s="6"/>
      <c r="F17" s="6"/>
      <c r="G17" s="6"/>
      <c r="H17" s="6"/>
      <c r="I17" s="6"/>
    </row>
    <row r="18">
      <c r="A18" s="25"/>
      <c r="B18" s="6"/>
      <c r="C18" s="6"/>
      <c r="D18" s="6"/>
      <c r="E18" s="6"/>
      <c r="F18" s="6"/>
      <c r="G18" s="6"/>
      <c r="H18" s="6"/>
      <c r="I18" s="6"/>
    </row>
    <row r="19">
      <c r="A19" s="6"/>
      <c r="B19" s="6"/>
      <c r="C19" s="6"/>
      <c r="D19" s="6"/>
      <c r="E19" s="6"/>
      <c r="F19" s="6"/>
      <c r="G19" s="6"/>
      <c r="H19" s="6"/>
      <c r="I19" s="6"/>
    </row>
    <row r="20">
      <c r="A20" s="26"/>
      <c r="B20" s="6"/>
      <c r="C20" s="6"/>
      <c r="D20" s="6"/>
      <c r="E20" s="6"/>
      <c r="F20" s="6"/>
      <c r="G20" s="6"/>
      <c r="H20" s="6"/>
      <c r="I20" s="6"/>
    </row>
    <row r="21">
      <c r="A21" s="6"/>
      <c r="B21" s="6"/>
      <c r="C21" s="6"/>
      <c r="D21" s="6"/>
      <c r="E21" s="6"/>
      <c r="F21" s="6"/>
      <c r="G21" s="6"/>
      <c r="H21" s="6"/>
      <c r="I21" s="6"/>
    </row>
    <row r="22">
      <c r="A22" s="6"/>
      <c r="B22" s="6"/>
      <c r="C22" s="6"/>
      <c r="D22" s="6"/>
      <c r="E22" s="6"/>
      <c r="F22" s="6"/>
      <c r="G22" s="6"/>
      <c r="H22" s="6"/>
      <c r="I22" s="6"/>
    </row>
    <row r="23">
      <c r="A23" s="6"/>
      <c r="B23" s="6"/>
      <c r="C23" s="6"/>
      <c r="D23" s="6"/>
      <c r="E23" s="6"/>
      <c r="F23" s="6"/>
      <c r="G23" s="6"/>
      <c r="H23" s="6"/>
      <c r="I23" s="6"/>
    </row>
    <row r="26">
      <c r="A26" s="2" t="s">
        <v>32</v>
      </c>
      <c r="B26" s="2" t="s">
        <v>33</v>
      </c>
    </row>
    <row r="27">
      <c r="A27" s="2">
        <v>1.0</v>
      </c>
      <c r="B27" s="2">
        <v>109.5</v>
      </c>
    </row>
    <row r="28">
      <c r="A28" s="2">
        <v>2.0</v>
      </c>
      <c r="B28" s="2">
        <v>108.4</v>
      </c>
    </row>
    <row r="29">
      <c r="A29" s="2">
        <v>4.0</v>
      </c>
      <c r="B29" s="2">
        <v>106.8</v>
      </c>
    </row>
    <row r="30">
      <c r="A30" s="2">
        <v>8.0</v>
      </c>
      <c r="B30" s="2">
        <v>104.7</v>
      </c>
    </row>
    <row r="54">
      <c r="A54" s="2" t="s">
        <v>34</v>
      </c>
      <c r="B54" s="2" t="s">
        <v>33</v>
      </c>
    </row>
    <row r="55">
      <c r="A55" s="2">
        <v>5.0</v>
      </c>
      <c r="B55" s="2">
        <v>105.9</v>
      </c>
    </row>
    <row r="56">
      <c r="A56" s="2">
        <v>20.0</v>
      </c>
      <c r="B56" s="2">
        <v>105.1</v>
      </c>
    </row>
    <row r="57">
      <c r="A57" s="2">
        <v>50.0</v>
      </c>
      <c r="B57" s="2">
        <v>106.9</v>
      </c>
    </row>
    <row r="58">
      <c r="A58" s="2">
        <v>100.0</v>
      </c>
      <c r="B58" s="2">
        <v>108.5</v>
      </c>
    </row>
    <row r="83">
      <c r="A83" s="2" t="s">
        <v>35</v>
      </c>
      <c r="B83" s="2" t="s">
        <v>36</v>
      </c>
    </row>
    <row r="84">
      <c r="A84" s="2" t="s">
        <v>37</v>
      </c>
      <c r="B84" s="2">
        <v>56.8</v>
      </c>
    </row>
    <row r="85">
      <c r="A85" s="2" t="s">
        <v>38</v>
      </c>
      <c r="B85" s="2">
        <v>16.0</v>
      </c>
    </row>
    <row r="108">
      <c r="C108" s="27" t="s">
        <v>39</v>
      </c>
    </row>
    <row r="109">
      <c r="C109" s="28"/>
    </row>
    <row r="110">
      <c r="C110" s="27" t="s">
        <v>40</v>
      </c>
    </row>
    <row r="111">
      <c r="C111" s="27" t="s">
        <v>41</v>
      </c>
    </row>
    <row r="112">
      <c r="C112" s="27" t="s">
        <v>42</v>
      </c>
    </row>
    <row r="113">
      <c r="C113" s="27" t="s">
        <v>43</v>
      </c>
    </row>
  </sheetData>
  <drawing r:id="rId1"/>
</worksheet>
</file>